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KPIs" sheetId="1" state="visible" r:id="rId3"/>
    <sheet name="Weekly Inputs" sheetId="2" state="visible" r:id="rId4"/>
    <sheet name="Marketing &amp; Social Media" sheetId="3" state="visible" r:id="rId5"/>
    <sheet name="Partnerships &amp; Outreach" sheetId="4" state="visible" r:id="rId6"/>
    <sheet name="General Management" sheetId="5" state="visible" r:id="rId7"/>
    <sheet name="Impact Labs" sheetId="6" state="visible" r:id="rId8"/>
    <sheet name="Events &amp; Community Outreac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<sst xmlns="http://schemas.openxmlformats.org/spreadsheetml/2006/main" count="352" uniqueCount="153">
  <si>
    <t xml:space="preserve">SolarPak — 3-Year KPI Framework</t>
  </si>
  <si>
    <t xml:space="preserve">Team / KPI</t>
  </si>
  <si>
    <t xml:space="preserve">Description</t>
  </si>
  <si>
    <t xml:space="preserve">Year 1</t>
  </si>
  <si>
    <t xml:space="preserve">Year 2</t>
  </si>
  <si>
    <t xml:space="preserve">Year 3</t>
  </si>
  <si>
    <t xml:space="preserve">Team</t>
  </si>
  <si>
    <t xml:space="preserve">Marketing &amp; Social Media</t>
  </si>
  <si>
    <t xml:space="preserve">Total social following</t>
  </si>
  <si>
    <t xml:space="preserve">Combined across platforms</t>
  </si>
  <si>
    <t xml:space="preserve">5,000</t>
  </si>
  <si>
    <t xml:space="preserve">15,000</t>
  </si>
  <si>
    <t xml:space="preserve">40,000</t>
  </si>
  <si>
    <t xml:space="preserve">Avg. engagement rate</t>
  </si>
  <si>
    <t xml:space="preserve">Likes, comments, shares / reach</t>
  </si>
  <si>
    <t xml:space="preserve">4–6%</t>
  </si>
  <si>
    <t xml:space="preserve">6–8%</t>
  </si>
  <si>
    <t xml:space="preserve">8%+</t>
  </si>
  <si>
    <t xml:space="preserve">Posts published</t>
  </si>
  <si>
    <t xml:space="preserve">Per month</t>
  </si>
  <si>
    <t xml:space="preserve">12</t>
  </si>
  <si>
    <t xml:space="preserve">20</t>
  </si>
  <si>
    <t xml:space="preserve">30</t>
  </si>
  <si>
    <t xml:space="preserve">Press / media mentions</t>
  </si>
  <si>
    <t xml:space="preserve">Per year</t>
  </si>
  <si>
    <t xml:space="preserve">4</t>
  </si>
  <si>
    <t xml:space="preserve">10</t>
  </si>
  <si>
    <t xml:space="preserve">Partnerships &amp; Outreach</t>
  </si>
  <si>
    <t xml:space="preserve">Active institutional partners</t>
  </si>
  <si>
    <t xml:space="preserve">Schools, municipalities, CSR</t>
  </si>
  <si>
    <t xml:space="preserve">6</t>
  </si>
  <si>
    <t xml:space="preserve">15</t>
  </si>
  <si>
    <t xml:space="preserve">Communities reached</t>
  </si>
  <si>
    <t xml:space="preserve">Distinct underserved communities</t>
  </si>
  <si>
    <t xml:space="preserve">5</t>
  </si>
  <si>
    <t xml:space="preserve">25</t>
  </si>
  <si>
    <t xml:space="preserve">Outreach meetings held</t>
  </si>
  <si>
    <t xml:space="preserve">2</t>
  </si>
  <si>
    <t xml:space="preserve">Partnership conversion rate</t>
  </si>
  <si>
    <t xml:space="preserve">Meetings → active partners</t>
  </si>
  <si>
    <t xml:space="preserve">30%</t>
  </si>
  <si>
    <t xml:space="preserve">35%</t>
  </si>
  <si>
    <t xml:space="preserve">40%</t>
  </si>
  <si>
    <t xml:space="preserve">General Management</t>
  </si>
  <si>
    <t xml:space="preserve">Active team members</t>
  </si>
  <si>
    <t xml:space="preserve">From baseline of 14</t>
  </si>
  <si>
    <t xml:space="preserve">22</t>
  </si>
  <si>
    <t xml:space="preserve">40</t>
  </si>
  <si>
    <t xml:space="preserve">70</t>
  </si>
  <si>
    <t xml:space="preserve">Member retention rate</t>
  </si>
  <si>
    <t xml:space="preserve">Staying 6+ months</t>
  </si>
  <si>
    <t xml:space="preserve">80%</t>
  </si>
  <si>
    <t xml:space="preserve">85%</t>
  </si>
  <si>
    <t xml:space="preserve">90%</t>
  </si>
  <si>
    <t xml:space="preserve">OKR completion rate</t>
  </si>
  <si>
    <t xml:space="preserve">Quarterly OKRs hit</t>
  </si>
  <si>
    <t xml:space="preserve">70%</t>
  </si>
  <si>
    <t xml:space="preserve">75%</t>
  </si>
  <si>
    <t xml:space="preserve">Team leads in place</t>
  </si>
  <si>
    <t xml:space="preserve">Named accountable lead per team</t>
  </si>
  <si>
    <t xml:space="preserve">4 / 4 teams</t>
  </si>
  <si>
    <t xml:space="preserve">8 / 8 teams</t>
  </si>
  <si>
    <t xml:space="preserve">12 / 12 teams</t>
  </si>
  <si>
    <t xml:space="preserve">Impact Labs</t>
  </si>
  <si>
    <t xml:space="preserve">Annual impact report published</t>
  </si>
  <si>
    <t xml:space="preserve">On time, publicly available</t>
  </si>
  <si>
    <t xml:space="preserve">1</t>
  </si>
  <si>
    <t xml:space="preserve">Research articles published</t>
  </si>
  <si>
    <t xml:space="preserve">18</t>
  </si>
  <si>
    <t xml:space="preserve">Data accuracy audit score</t>
  </si>
  <si>
    <t xml:space="preserve">Internal quarterly audit</t>
  </si>
  <si>
    <t xml:space="preserve">92%</t>
  </si>
  <si>
    <t xml:space="preserve">97%</t>
  </si>
  <si>
    <t xml:space="preserve">External citations / references</t>
  </si>
  <si>
    <t xml:space="preserve">SolarPak data cited by others</t>
  </si>
  <si>
    <t xml:space="preserve">8</t>
  </si>
  <si>
    <t xml:space="preserve">Events &amp; Community Outreach</t>
  </si>
  <si>
    <t xml:space="preserve">Events organised per year</t>
  </si>
  <si>
    <t xml:space="preserve">SolarPak-run only</t>
  </si>
  <si>
    <t xml:space="preserve">3</t>
  </si>
  <si>
    <t xml:space="preserve">7</t>
  </si>
  <si>
    <t xml:space="preserve">Total event attendees</t>
  </si>
  <si>
    <t xml:space="preserve">Across all events per year</t>
  </si>
  <si>
    <t xml:space="preserve">300</t>
  </si>
  <si>
    <t xml:space="preserve">1,000</t>
  </si>
  <si>
    <t xml:space="preserve">3,000</t>
  </si>
  <si>
    <t xml:space="preserve">Avg. attendees per event</t>
  </si>
  <si>
    <t xml:space="preserve">Quality signal, not just volume</t>
  </si>
  <si>
    <t xml:space="preserve">100</t>
  </si>
  <si>
    <t xml:space="preserve">140</t>
  </si>
  <si>
    <t xml:space="preserve">200</t>
  </si>
  <si>
    <t xml:space="preserve">Post-event satisfaction score</t>
  </si>
  <si>
    <t xml:space="preserve">Attendee survey, out of 5</t>
  </si>
  <si>
    <t xml:space="preserve">4.0 / 5</t>
  </si>
  <si>
    <t xml:space="preserve">4.3 / 5</t>
  </si>
  <si>
    <t xml:space="preserve">4.5 / 5</t>
  </si>
  <si>
    <t xml:space="preserve">Repeat attendee rate</t>
  </si>
  <si>
    <t xml:space="preserve">Attended 2+ SolarPak events</t>
  </si>
  <si>
    <t xml:space="preserve">15%</t>
  </si>
  <si>
    <t xml:space="preserve">25%</t>
  </si>
  <si>
    <t xml:space="preserve">Events with a sponsor or partner</t>
  </si>
  <si>
    <t xml:space="preserve">At least 1 external co-organiser</t>
  </si>
  <si>
    <t xml:space="preserve">SolarPak — Weekly Input Tracker</t>
  </si>
  <si>
    <t xml:space="preserve">Enter each team lead's numbers weekly. Scores auto-calculate. Target = 100.</t>
  </si>
  <si>
    <t xml:space="preserve">Question</t>
  </si>
  <si>
    <t xml:space="preserve">Input</t>
  </si>
  <si>
    <t xml:space="preserve">Total Tasks (Mgmt only)</t>
  </si>
  <si>
    <t xml:space="preserve">Score (%)</t>
  </si>
  <si>
    <t xml:space="preserve">Notes</t>
  </si>
  <si>
    <t xml:space="preserve">How many posts did you publish this week?</t>
  </si>
  <si>
    <t xml:space="preserve">—</t>
  </si>
  <si>
    <t xml:space="preserve">Target: 3 posts | Capped at 100. E.g. 2 posts = 67%</t>
  </si>
  <si>
    <t xml:space="preserve">What was your total follower gain this week?</t>
  </si>
  <si>
    <t xml:space="preserve">Target: 50 new followers | ~50/week compounds to 2,500 net gain/year</t>
  </si>
  <si>
    <t xml:space="preserve">How many press contacts were reached out to?</t>
  </si>
  <si>
    <t xml:space="preserve">Target: 1 outreach | Binary — did you reach out to at least 1?</t>
  </si>
  <si>
    <t xml:space="preserve">Marketing &amp; Social Media — Weekly Score</t>
  </si>
  <si>
    <t xml:space="preserve">Team score = average of the 3 question scores. Engagement rate reviewed monthly from platform analytics.</t>
  </si>
  <si>
    <t xml:space="preserve">How many outreach meetings did you hold this week?</t>
  </si>
  <si>
    <t xml:space="preserve">Target: 0.5 per week | 1 meeting = 200% (surplus banked)</t>
  </si>
  <si>
    <t xml:space="preserve">How many new partnerships were formalised this week?</t>
  </si>
  <si>
    <t xml:space="preserve">Target: 0.12 per week | ~1 new partner every 8 weeks</t>
  </si>
  <si>
    <t xml:space="preserve">How many new communities were engaged this week?</t>
  </si>
  <si>
    <t xml:space="preserve">Target: 0.1 per week | ~1 new community every 10 weeks. Track cumulatively.</t>
  </si>
  <si>
    <t xml:space="preserve">Partnerships &amp; Outreach — Weekly Score</t>
  </si>
  <si>
    <t xml:space="preserve">Conversion rate is auto-calculated from meetings held vs partnerships formalised — no separate input needed.</t>
  </si>
  <si>
    <t xml:space="preserve">How many new members joined SolarPak this week?</t>
  </si>
  <si>
    <t xml:space="preserve">Target: 0.15 per week | ~8 new members needed over the year (14 → 22)</t>
  </si>
  <si>
    <t xml:space="preserve">How many members left or became inactive this week?</t>
  </si>
  <si>
    <t xml:space="preserve">Target: 0 departures | Each departure costs 25 points</t>
  </si>
  <si>
    <t xml:space="preserve">How many OKR tasks were completed this week? (enter as completed/total)</t>
  </si>
  <si>
    <t xml:space="preserve">Target: 70% of weekly tasks | Requires total tasks due that week in column C</t>
  </si>
  <si>
    <t xml:space="preserve">General Management — Weekly Score</t>
  </si>
  <si>
    <t xml:space="preserve">Team leads in place is a quarterly milestone — flag it once per quarter when a new lead is confirmed.</t>
  </si>
  <si>
    <t xml:space="preserve">How many research articles or drafts were worked on?</t>
  </si>
  <si>
    <t xml:space="preserve">Target: 1 in progress at all times | Binary — is at least one article actively being worked on?</t>
  </si>
  <si>
    <t xml:space="preserve">How many data points or KPIs were verified this week?</t>
  </si>
  <si>
    <t xml:space="preserve">Target: 3 data points | Keeps data hygiene habit consistent week to week</t>
  </si>
  <si>
    <t xml:space="preserve">Were any SolarPak findings shared externally? (1=yes, 0=no)</t>
  </si>
  <si>
    <t xml:space="preserve">Target: 1 every 6 weeks | Binary over a 6-week rolling window</t>
  </si>
  <si>
    <t xml:space="preserve">Impact Labs — Weekly Score</t>
  </si>
  <si>
    <t xml:space="preserve">Annual impact report tracked as % complete each month (0% → 25% → 75% → 100% by year end).</t>
  </si>
  <si>
    <t xml:space="preserve">How many hours were spent on event planning this week?</t>
  </si>
  <si>
    <t xml:space="preserve">Target: 3 hours/week | Proxy for progress — event count is a quarterly milestone</t>
  </si>
  <si>
    <t xml:space="preserve">How many sponsor/partner conversations were held?</t>
  </si>
  <si>
    <t xml:space="preserve">Target: 0.5 per week | 0.5/week = 1 conversation every fortnight</t>
  </si>
  <si>
    <t xml:space="preserve">How many people registered for upcoming events?</t>
  </si>
  <si>
    <t xml:space="preserve">Target: 6 registrations/week | 6/week × 50 active weeks = 300 attendees</t>
  </si>
  <si>
    <t xml:space="preserve">Events &amp; Community Outreach — Weekly Score</t>
  </si>
  <si>
    <t xml:space="preserve">Satisfaction score and repeat attendee rate are collected post-event, not weekly.</t>
  </si>
  <si>
    <t xml:space="preserve">EXECUTIVE OVERALL SCORE</t>
  </si>
  <si>
    <t xml:space="preserve">Average of all team scores. Target: 70%+</t>
  </si>
  <si>
    <t xml:space="preserve">KPI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</si>
</sst>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4444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887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85FA5"/>
      <name val="Arial"/>
      <family val="0"/>
      <charset val="1"/>
    </font>
    <font>
      <sz val="10"/>
      <color rgb="FF5F5E5A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2C2C2A"/>
      </patternFill>
    </fill>
    <fill>
      <patternFill patternType="solid">
        <fgColor rgb="FF2C2C2A"/>
        <bgColor rgb="FF1A1A2E"/>
      </patternFill>
    </fill>
    <fill>
      <patternFill patternType="solid">
        <fgColor rgb="FF1A6BAA"/>
        <bgColor rgb="FF185FA5"/>
      </patternFill>
    </fill>
    <fill>
      <patternFill patternType="solid">
        <fgColor rgb="FFFFFFFF"/>
        <bgColor rgb="FFFAFAFA"/>
      </patternFill>
    </fill>
    <fill>
      <patternFill patternType="solid">
        <fgColor rgb="FFE6F1FB"/>
        <bgColor rgb="FFEEEDFE"/>
      </patternFill>
    </fill>
    <fill>
      <patternFill patternType="solid">
        <fgColor rgb="FFF5F5F5"/>
        <bgColor rgb="FFFAFAFA"/>
      </patternFill>
    </fill>
    <fill>
      <patternFill patternType="solid">
        <fgColor rgb="FF085041"/>
        <bgColor rgb="FF444441"/>
      </patternFill>
    </fill>
    <fill>
      <patternFill patternType="solid">
        <fgColor rgb="FFE1F5EE"/>
        <bgColor rgb="FFE6F1FB"/>
      </patternFill>
    </fill>
    <fill>
      <patternFill patternType="solid">
        <fgColor rgb="FF3C3489"/>
        <bgColor rgb="FF444441"/>
      </patternFill>
    </fill>
    <fill>
      <patternFill patternType="solid">
        <fgColor rgb="FFEEEDFE"/>
        <bgColor rgb="FFE6F1FB"/>
      </patternFill>
    </fill>
    <fill>
      <patternFill patternType="solid">
        <fgColor rgb="FF633806"/>
        <bgColor rgb="FF712B13"/>
      </patternFill>
    </fill>
    <fill>
      <patternFill patternType="solid">
        <fgColor rgb="FFFAEEDA"/>
        <bgColor rgb="FFFAECE7"/>
      </patternFill>
    </fill>
    <fill>
      <patternFill patternType="solid">
        <fgColor rgb="FF712B13"/>
        <bgColor rgb="FF633806"/>
      </patternFill>
    </fill>
    <fill>
      <patternFill patternType="solid">
        <fgColor rgb="FFFAECE7"/>
        <bgColor rgb="FFFAEEDA"/>
      </patternFill>
    </fill>
    <fill>
      <patternFill patternType="solid">
        <fgColor rgb="FFFFF9E6"/>
        <bgColor rgb="FFFAFAFA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5FA5"/>
      <rgbColor rgb="FFEEEDFE"/>
      <rgbColor rgb="FF888780"/>
      <rgbColor rgb="FF9999FF"/>
      <rgbColor rgb="FF444441"/>
      <rgbColor rgb="FFFFF9E6"/>
      <rgbColor rgb="FFE1F5EE"/>
      <rgbColor rgb="FF660066"/>
      <rgbColor rgb="FFFF8080"/>
      <rgbColor rgb="FF1A6BA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AEEDA"/>
      <rgbColor rgb="FFFAFAFA"/>
      <rgbColor rgb="FFFF99CC"/>
      <rgbColor rgb="FFCC99FF"/>
      <rgbColor rgb="FFFAECE7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85041"/>
      <rgbColor rgb="FF339966"/>
      <rgbColor rgb="FF1A1A2E"/>
      <rgbColor rgb="FF633806"/>
      <rgbColor rgb="FF712B13"/>
      <rgbColor rgb="FF99336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customFormat="false" ht="24" hidden="false" customHeight="true" outlineLevel="0" collapsed="false">
      <c r="A3" s="5" t="s">
        <v>7</v>
      </c>
      <c r="B3" s="5"/>
      <c r="C3" s="5"/>
      <c r="D3" s="5"/>
      <c r="E3" s="5"/>
      <c r="F3" s="5"/>
    </row>
    <row r="4" customFormat="false" ht="19.5" hidden="false" customHeight="true" outlineLevel="0" collapsed="false">
      <c r="A4" s="6" t="s">
        <v>8</v>
      </c>
      <c r="B4" s="7" t="s">
        <v>9</v>
      </c>
      <c r="C4" s="8" t="s">
        <v>10</v>
      </c>
      <c r="D4" s="8" t="s">
        <v>11</v>
      </c>
      <c r="E4" s="8" t="s">
        <v>12</v>
      </c>
      <c r="F4" s="9" t="s">
        <v>7</v>
      </c>
    </row>
    <row r="5" customFormat="false" ht="19.5" hidden="false" customHeight="true" outlineLevel="0" collapsed="false">
      <c r="A5" s="6" t="s">
        <v>13</v>
      </c>
      <c r="B5" s="7" t="s">
        <v>14</v>
      </c>
      <c r="C5" s="8" t="s">
        <v>15</v>
      </c>
      <c r="D5" s="8" t="s">
        <v>16</v>
      </c>
      <c r="E5" s="8" t="s">
        <v>17</v>
      </c>
      <c r="F5" s="9" t="s">
        <v>7</v>
      </c>
    </row>
    <row r="6" customFormat="false" ht="19.5" hidden="false" customHeight="true" outlineLevel="0" collapsed="false">
      <c r="A6" s="6" t="s">
        <v>18</v>
      </c>
      <c r="B6" s="7" t="s">
        <v>19</v>
      </c>
      <c r="C6" s="8" t="s">
        <v>20</v>
      </c>
      <c r="D6" s="8" t="s">
        <v>21</v>
      </c>
      <c r="E6" s="8" t="s">
        <v>22</v>
      </c>
      <c r="F6" s="9" t="s">
        <v>7</v>
      </c>
    </row>
    <row r="7" customFormat="false" ht="19.5" hidden="false" customHeight="true" outlineLevel="0" collapsed="false">
      <c r="A7" s="6" t="s">
        <v>23</v>
      </c>
      <c r="B7" s="7" t="s">
        <v>24</v>
      </c>
      <c r="C7" s="8" t="s">
        <v>25</v>
      </c>
      <c r="D7" s="8" t="s">
        <v>26</v>
      </c>
      <c r="E7" s="8" t="s">
        <v>21</v>
      </c>
      <c r="F7" s="9" t="s">
        <v>7</v>
      </c>
    </row>
    <row r="8" customFormat="false" ht="7.5" hidden="false" customHeight="true" outlineLevel="0" collapsed="false">
      <c r="A8" s="10"/>
      <c r="B8" s="10"/>
      <c r="C8" s="10"/>
      <c r="D8" s="10"/>
      <c r="E8" s="10"/>
      <c r="F8" s="10"/>
    </row>
    <row r="9" customFormat="false" ht="24" hidden="false" customHeight="true" outlineLevel="0" collapsed="false">
      <c r="A9" s="11" t="s">
        <v>27</v>
      </c>
      <c r="B9" s="11"/>
      <c r="C9" s="11"/>
      <c r="D9" s="11"/>
      <c r="E9" s="11"/>
      <c r="F9" s="11"/>
    </row>
    <row r="10" customFormat="false" ht="19.5" hidden="false" customHeight="true" outlineLevel="0" collapsed="false">
      <c r="A10" s="6" t="s">
        <v>28</v>
      </c>
      <c r="B10" s="7" t="s">
        <v>29</v>
      </c>
      <c r="C10" s="12" t="s">
        <v>30</v>
      </c>
      <c r="D10" s="12" t="s">
        <v>31</v>
      </c>
      <c r="E10" s="12" t="s">
        <v>22</v>
      </c>
      <c r="F10" s="9" t="s">
        <v>27</v>
      </c>
    </row>
    <row r="11" customFormat="false" ht="19.5" hidden="false" customHeight="true" outlineLevel="0" collapsed="false">
      <c r="A11" s="6" t="s">
        <v>32</v>
      </c>
      <c r="B11" s="7" t="s">
        <v>33</v>
      </c>
      <c r="C11" s="12" t="s">
        <v>34</v>
      </c>
      <c r="D11" s="12" t="s">
        <v>20</v>
      </c>
      <c r="E11" s="12" t="s">
        <v>35</v>
      </c>
      <c r="F11" s="9" t="s">
        <v>27</v>
      </c>
    </row>
    <row r="12" customFormat="false" ht="19.5" hidden="false" customHeight="true" outlineLevel="0" collapsed="false">
      <c r="A12" s="6" t="s">
        <v>36</v>
      </c>
      <c r="B12" s="7" t="s">
        <v>19</v>
      </c>
      <c r="C12" s="12" t="s">
        <v>37</v>
      </c>
      <c r="D12" s="12" t="s">
        <v>34</v>
      </c>
      <c r="E12" s="12" t="s">
        <v>26</v>
      </c>
      <c r="F12" s="9" t="s">
        <v>27</v>
      </c>
    </row>
    <row r="13" customFormat="false" ht="19.5" hidden="false" customHeight="true" outlineLevel="0" collapsed="false">
      <c r="A13" s="6" t="s">
        <v>38</v>
      </c>
      <c r="B13" s="7" t="s">
        <v>39</v>
      </c>
      <c r="C13" s="12" t="s">
        <v>40</v>
      </c>
      <c r="D13" s="12" t="s">
        <v>41</v>
      </c>
      <c r="E13" s="12" t="s">
        <v>42</v>
      </c>
      <c r="F13" s="9" t="s">
        <v>27</v>
      </c>
    </row>
    <row r="14" customFormat="false" ht="7.5" hidden="false" customHeight="true" outlineLevel="0" collapsed="false">
      <c r="A14" s="10"/>
      <c r="B14" s="10"/>
      <c r="C14" s="10"/>
      <c r="D14" s="10"/>
      <c r="E14" s="10"/>
      <c r="F14" s="10"/>
    </row>
    <row r="15" customFormat="false" ht="24" hidden="false" customHeight="true" outlineLevel="0" collapsed="false">
      <c r="A15" s="13" t="s">
        <v>43</v>
      </c>
      <c r="B15" s="13"/>
      <c r="C15" s="13"/>
      <c r="D15" s="13"/>
      <c r="E15" s="13"/>
      <c r="F15" s="13"/>
    </row>
    <row r="16" customFormat="false" ht="19.5" hidden="false" customHeight="true" outlineLevel="0" collapsed="false">
      <c r="A16" s="6" t="s">
        <v>44</v>
      </c>
      <c r="B16" s="7" t="s">
        <v>45</v>
      </c>
      <c r="C16" s="14" t="s">
        <v>46</v>
      </c>
      <c r="D16" s="14" t="s">
        <v>47</v>
      </c>
      <c r="E16" s="14" t="s">
        <v>48</v>
      </c>
      <c r="F16" s="9" t="s">
        <v>43</v>
      </c>
    </row>
    <row r="17" customFormat="false" ht="19.5" hidden="false" customHeight="true" outlineLevel="0" collapsed="false">
      <c r="A17" s="6" t="s">
        <v>49</v>
      </c>
      <c r="B17" s="7" t="s">
        <v>50</v>
      </c>
      <c r="C17" s="14" t="s">
        <v>51</v>
      </c>
      <c r="D17" s="14" t="s">
        <v>52</v>
      </c>
      <c r="E17" s="14" t="s">
        <v>53</v>
      </c>
      <c r="F17" s="9" t="s">
        <v>43</v>
      </c>
    </row>
    <row r="18" customFormat="false" ht="19.5" hidden="false" customHeight="true" outlineLevel="0" collapsed="false">
      <c r="A18" s="6" t="s">
        <v>54</v>
      </c>
      <c r="B18" s="7" t="s">
        <v>55</v>
      </c>
      <c r="C18" s="14" t="s">
        <v>56</v>
      </c>
      <c r="D18" s="14" t="s">
        <v>57</v>
      </c>
      <c r="E18" s="14" t="s">
        <v>51</v>
      </c>
      <c r="F18" s="9" t="s">
        <v>43</v>
      </c>
    </row>
    <row r="19" customFormat="false" ht="19.5" hidden="false" customHeight="true" outlineLevel="0" collapsed="false">
      <c r="A19" s="6" t="s">
        <v>58</v>
      </c>
      <c r="B19" s="7" t="s">
        <v>59</v>
      </c>
      <c r="C19" s="14" t="s">
        <v>60</v>
      </c>
      <c r="D19" s="14" t="s">
        <v>61</v>
      </c>
      <c r="E19" s="14" t="s">
        <v>62</v>
      </c>
      <c r="F19" s="9" t="s">
        <v>43</v>
      </c>
    </row>
    <row r="20" customFormat="false" ht="7.5" hidden="false" customHeight="true" outlineLevel="0" collapsed="false">
      <c r="A20" s="10"/>
      <c r="B20" s="10"/>
      <c r="C20" s="10"/>
      <c r="D20" s="10"/>
      <c r="E20" s="10"/>
      <c r="F20" s="10"/>
    </row>
    <row r="21" customFormat="false" ht="24" hidden="false" customHeight="true" outlineLevel="0" collapsed="false">
      <c r="A21" s="15" t="s">
        <v>63</v>
      </c>
      <c r="B21" s="15"/>
      <c r="C21" s="15"/>
      <c r="D21" s="15"/>
      <c r="E21" s="15"/>
      <c r="F21" s="15"/>
    </row>
    <row r="22" customFormat="false" ht="19.5" hidden="false" customHeight="true" outlineLevel="0" collapsed="false">
      <c r="A22" s="6" t="s">
        <v>64</v>
      </c>
      <c r="B22" s="7" t="s">
        <v>65</v>
      </c>
      <c r="C22" s="16" t="s">
        <v>66</v>
      </c>
      <c r="D22" s="16" t="s">
        <v>66</v>
      </c>
      <c r="E22" s="16" t="s">
        <v>66</v>
      </c>
      <c r="F22" s="9" t="s">
        <v>63</v>
      </c>
    </row>
    <row r="23" customFormat="false" ht="19.5" hidden="false" customHeight="true" outlineLevel="0" collapsed="false">
      <c r="A23" s="6" t="s">
        <v>67</v>
      </c>
      <c r="B23" s="7" t="s">
        <v>24</v>
      </c>
      <c r="C23" s="16" t="s">
        <v>25</v>
      </c>
      <c r="D23" s="16" t="s">
        <v>26</v>
      </c>
      <c r="E23" s="16" t="s">
        <v>68</v>
      </c>
      <c r="F23" s="9" t="s">
        <v>63</v>
      </c>
    </row>
    <row r="24" customFormat="false" ht="19.5" hidden="false" customHeight="true" outlineLevel="0" collapsed="false">
      <c r="A24" s="6" t="s">
        <v>69</v>
      </c>
      <c r="B24" s="7" t="s">
        <v>70</v>
      </c>
      <c r="C24" s="16" t="s">
        <v>52</v>
      </c>
      <c r="D24" s="16" t="s">
        <v>71</v>
      </c>
      <c r="E24" s="16" t="s">
        <v>72</v>
      </c>
      <c r="F24" s="9" t="s">
        <v>63</v>
      </c>
    </row>
    <row r="25" customFormat="false" ht="19.5" hidden="false" customHeight="true" outlineLevel="0" collapsed="false">
      <c r="A25" s="6" t="s">
        <v>73</v>
      </c>
      <c r="B25" s="7" t="s">
        <v>74</v>
      </c>
      <c r="C25" s="16" t="s">
        <v>37</v>
      </c>
      <c r="D25" s="16" t="s">
        <v>75</v>
      </c>
      <c r="E25" s="16" t="s">
        <v>21</v>
      </c>
      <c r="F25" s="9" t="s">
        <v>63</v>
      </c>
    </row>
    <row r="26" customFormat="false" ht="7.5" hidden="false" customHeight="true" outlineLevel="0" collapsed="false">
      <c r="A26" s="10"/>
      <c r="B26" s="10"/>
      <c r="C26" s="10"/>
      <c r="D26" s="10"/>
      <c r="E26" s="10"/>
      <c r="F26" s="10"/>
    </row>
    <row r="27" customFormat="false" ht="24" hidden="false" customHeight="true" outlineLevel="0" collapsed="false">
      <c r="A27" s="17" t="s">
        <v>76</v>
      </c>
      <c r="B27" s="17"/>
      <c r="C27" s="17"/>
      <c r="D27" s="17"/>
      <c r="E27" s="17"/>
      <c r="F27" s="17"/>
    </row>
    <row r="28" customFormat="false" ht="19.5" hidden="false" customHeight="true" outlineLevel="0" collapsed="false">
      <c r="A28" s="6" t="s">
        <v>77</v>
      </c>
      <c r="B28" s="7" t="s">
        <v>78</v>
      </c>
      <c r="C28" s="18" t="s">
        <v>79</v>
      </c>
      <c r="D28" s="18" t="s">
        <v>80</v>
      </c>
      <c r="E28" s="18" t="s">
        <v>31</v>
      </c>
      <c r="F28" s="9" t="s">
        <v>76</v>
      </c>
    </row>
    <row r="29" customFormat="false" ht="19.5" hidden="false" customHeight="true" outlineLevel="0" collapsed="false">
      <c r="A29" s="6" t="s">
        <v>81</v>
      </c>
      <c r="B29" s="7" t="s">
        <v>82</v>
      </c>
      <c r="C29" s="18" t="s">
        <v>83</v>
      </c>
      <c r="D29" s="18" t="s">
        <v>84</v>
      </c>
      <c r="E29" s="18" t="s">
        <v>85</v>
      </c>
      <c r="F29" s="9" t="s">
        <v>76</v>
      </c>
    </row>
    <row r="30" customFormat="false" ht="19.5" hidden="false" customHeight="true" outlineLevel="0" collapsed="false">
      <c r="A30" s="6" t="s">
        <v>86</v>
      </c>
      <c r="B30" s="7" t="s">
        <v>87</v>
      </c>
      <c r="C30" s="18" t="s">
        <v>88</v>
      </c>
      <c r="D30" s="18" t="s">
        <v>89</v>
      </c>
      <c r="E30" s="18" t="s">
        <v>90</v>
      </c>
      <c r="F30" s="9" t="s">
        <v>76</v>
      </c>
    </row>
    <row r="31" customFormat="false" ht="19.5" hidden="false" customHeight="true" outlineLevel="0" collapsed="false">
      <c r="A31" s="6" t="s">
        <v>91</v>
      </c>
      <c r="B31" s="7" t="s">
        <v>92</v>
      </c>
      <c r="C31" s="18" t="s">
        <v>93</v>
      </c>
      <c r="D31" s="18" t="s">
        <v>94</v>
      </c>
      <c r="E31" s="18" t="s">
        <v>95</v>
      </c>
      <c r="F31" s="9" t="s">
        <v>76</v>
      </c>
    </row>
    <row r="32" customFormat="false" ht="19.5" hidden="false" customHeight="true" outlineLevel="0" collapsed="false">
      <c r="A32" s="6" t="s">
        <v>96</v>
      </c>
      <c r="B32" s="7" t="s">
        <v>97</v>
      </c>
      <c r="C32" s="18" t="s">
        <v>98</v>
      </c>
      <c r="D32" s="18" t="s">
        <v>99</v>
      </c>
      <c r="E32" s="18" t="s">
        <v>41</v>
      </c>
      <c r="F32" s="9" t="s">
        <v>76</v>
      </c>
    </row>
    <row r="33" customFormat="false" ht="19.5" hidden="false" customHeight="true" outlineLevel="0" collapsed="false">
      <c r="A33" s="6" t="s">
        <v>100</v>
      </c>
      <c r="B33" s="7" t="s">
        <v>101</v>
      </c>
      <c r="C33" s="18" t="s">
        <v>66</v>
      </c>
      <c r="D33" s="18" t="s">
        <v>25</v>
      </c>
      <c r="E33" s="18" t="s">
        <v>26</v>
      </c>
      <c r="F33" s="9" t="s">
        <v>76</v>
      </c>
    </row>
    <row r="34" customFormat="false" ht="7.5" hidden="false" customHeight="true" outlineLevel="0" collapsed="false">
      <c r="A34" s="10"/>
      <c r="B34" s="10"/>
      <c r="C34" s="10"/>
      <c r="D34" s="10"/>
      <c r="E34" s="10"/>
      <c r="F34" s="10"/>
    </row>
  </sheetData>
  <mergeCells count="6">
    <mergeCell ref="A1:F1"/>
    <mergeCell ref="A3:F3"/>
    <mergeCell ref="A9:F9"/>
    <mergeCell ref="A15:F15"/>
    <mergeCell ref="A21:F21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38"/>
  </cols>
  <sheetData>
    <row r="1" customFormat="false" ht="36" hidden="false" customHeight="true" outlineLevel="0" collapsed="false">
      <c r="A1" s="19" t="s">
        <v>102</v>
      </c>
      <c r="B1" s="19"/>
      <c r="C1" s="19"/>
      <c r="D1" s="19"/>
      <c r="E1" s="19"/>
    </row>
    <row r="2" customFormat="false" ht="19.5" hidden="false" customHeight="true" outlineLevel="0" collapsed="false">
      <c r="A2" s="20" t="s">
        <v>103</v>
      </c>
      <c r="B2" s="20"/>
      <c r="C2" s="20"/>
      <c r="D2" s="20"/>
      <c r="E2" s="20"/>
    </row>
    <row r="3" customFormat="false" ht="21.75" hidden="false" customHeight="true" outlineLevel="0" collapsed="false">
      <c r="A3" s="3" t="s">
        <v>104</v>
      </c>
      <c r="B3" s="4" t="s">
        <v>105</v>
      </c>
      <c r="C3" s="4" t="s">
        <v>106</v>
      </c>
      <c r="D3" s="4" t="s">
        <v>107</v>
      </c>
      <c r="E3" s="4" t="s">
        <v>108</v>
      </c>
    </row>
    <row r="4" customFormat="false" ht="24" hidden="false" customHeight="true" outlineLevel="0" collapsed="false">
      <c r="A4" s="21" t="s">
        <v>7</v>
      </c>
      <c r="B4" s="21"/>
      <c r="C4" s="21"/>
      <c r="D4" s="21"/>
      <c r="E4" s="21"/>
    </row>
    <row r="5" customFormat="false" ht="27.75" hidden="false" customHeight="true" outlineLevel="0" collapsed="false">
      <c r="A5" s="22" t="s">
        <v>109</v>
      </c>
      <c r="B5" s="23" t="n">
        <v>0</v>
      </c>
      <c r="C5" s="24" t="s">
        <v>110</v>
      </c>
      <c r="D5" s="25" t="n">
        <f aca="false">MIN(100,(B5/3)*100)</f>
        <v>0</v>
      </c>
      <c r="E5" s="26" t="s">
        <v>111</v>
      </c>
    </row>
    <row r="6" customFormat="false" ht="27.75" hidden="false" customHeight="true" outlineLevel="0" collapsed="false">
      <c r="A6" s="22" t="s">
        <v>112</v>
      </c>
      <c r="B6" s="23" t="n">
        <v>0</v>
      </c>
      <c r="C6" s="24" t="s">
        <v>110</v>
      </c>
      <c r="D6" s="25" t="n">
        <f aca="false">MIN(100,(B6/50)*100)</f>
        <v>0</v>
      </c>
      <c r="E6" s="26" t="s">
        <v>113</v>
      </c>
    </row>
    <row r="7" customFormat="false" ht="27.75" hidden="false" customHeight="true" outlineLevel="0" collapsed="false">
      <c r="A7" s="22" t="s">
        <v>114</v>
      </c>
      <c r="B7" s="23" t="n">
        <v>0</v>
      </c>
      <c r="C7" s="24" t="s">
        <v>110</v>
      </c>
      <c r="D7" s="25" t="n">
        <f aca="false">IF(B7&gt;=1,100,0)</f>
        <v>0</v>
      </c>
      <c r="E7" s="26" t="s">
        <v>115</v>
      </c>
    </row>
    <row r="8" customFormat="false" ht="24" hidden="false" customHeight="true" outlineLevel="0" collapsed="false">
      <c r="A8" s="27" t="s">
        <v>116</v>
      </c>
      <c r="B8" s="28"/>
      <c r="C8" s="28"/>
      <c r="D8" s="29" t="n">
        <f aca="false">AVERAGE(D5,D6,D7)</f>
        <v>0</v>
      </c>
      <c r="E8" s="30" t="s">
        <v>117</v>
      </c>
    </row>
    <row r="9" customFormat="false" ht="7.5" hidden="false" customHeight="true" outlineLevel="0" collapsed="false">
      <c r="A9" s="31"/>
      <c r="B9" s="31"/>
      <c r="C9" s="31"/>
      <c r="D9" s="31"/>
      <c r="E9" s="31"/>
    </row>
    <row r="10" customFormat="false" ht="24" hidden="false" customHeight="true" outlineLevel="0" collapsed="false">
      <c r="A10" s="32" t="s">
        <v>27</v>
      </c>
      <c r="B10" s="32"/>
      <c r="C10" s="32"/>
      <c r="D10" s="32"/>
      <c r="E10" s="32"/>
    </row>
    <row r="11" customFormat="false" ht="27.75" hidden="false" customHeight="true" outlineLevel="0" collapsed="false">
      <c r="A11" s="22" t="s">
        <v>118</v>
      </c>
      <c r="B11" s="23" t="n">
        <v>0</v>
      </c>
      <c r="C11" s="24" t="s">
        <v>110</v>
      </c>
      <c r="D11" s="33" t="n">
        <f aca="false">MIN(100,(B11/0.5)*100)</f>
        <v>0</v>
      </c>
      <c r="E11" s="26" t="s">
        <v>119</v>
      </c>
    </row>
    <row r="12" customFormat="false" ht="27.75" hidden="false" customHeight="true" outlineLevel="0" collapsed="false">
      <c r="A12" s="22" t="s">
        <v>120</v>
      </c>
      <c r="B12" s="23" t="n">
        <v>0</v>
      </c>
      <c r="C12" s="24" t="s">
        <v>110</v>
      </c>
      <c r="D12" s="33" t="n">
        <f aca="false">MIN(100,(B12/0.12)*100)</f>
        <v>0</v>
      </c>
      <c r="E12" s="26" t="s">
        <v>121</v>
      </c>
    </row>
    <row r="13" customFormat="false" ht="27.75" hidden="false" customHeight="true" outlineLevel="0" collapsed="false">
      <c r="A13" s="22" t="s">
        <v>122</v>
      </c>
      <c r="B13" s="23" t="n">
        <v>0</v>
      </c>
      <c r="C13" s="24" t="s">
        <v>110</v>
      </c>
      <c r="D13" s="33" t="n">
        <f aca="false">MIN(100,(B13/0.1)*100)</f>
        <v>0</v>
      </c>
      <c r="E13" s="26" t="s">
        <v>123</v>
      </c>
    </row>
    <row r="14" customFormat="false" ht="24" hidden="false" customHeight="true" outlineLevel="0" collapsed="false">
      <c r="A14" s="34" t="s">
        <v>124</v>
      </c>
      <c r="B14" s="35"/>
      <c r="C14" s="35"/>
      <c r="D14" s="36" t="n">
        <f aca="false">AVERAGE(D11,D12,D13)</f>
        <v>0</v>
      </c>
      <c r="E14" s="37" t="s">
        <v>125</v>
      </c>
    </row>
    <row r="15" customFormat="false" ht="7.5" hidden="false" customHeight="true" outlineLevel="0" collapsed="false">
      <c r="A15" s="31"/>
      <c r="B15" s="31"/>
      <c r="C15" s="31"/>
      <c r="D15" s="31"/>
      <c r="E15" s="31"/>
    </row>
    <row r="16" customFormat="false" ht="24" hidden="false" customHeight="true" outlineLevel="0" collapsed="false">
      <c r="A16" s="38" t="s">
        <v>43</v>
      </c>
      <c r="B16" s="38"/>
      <c r="C16" s="38"/>
      <c r="D16" s="38"/>
      <c r="E16" s="38"/>
    </row>
    <row r="17" customFormat="false" ht="27.75" hidden="false" customHeight="true" outlineLevel="0" collapsed="false">
      <c r="A17" s="22" t="s">
        <v>126</v>
      </c>
      <c r="B17" s="23" t="n">
        <v>0</v>
      </c>
      <c r="C17" s="24" t="s">
        <v>110</v>
      </c>
      <c r="D17" s="39" t="n">
        <f aca="false">MIN(100,(B17/0.15)*100)</f>
        <v>0</v>
      </c>
      <c r="E17" s="26" t="s">
        <v>127</v>
      </c>
    </row>
    <row r="18" customFormat="false" ht="27.75" hidden="false" customHeight="true" outlineLevel="0" collapsed="false">
      <c r="A18" s="22" t="s">
        <v>128</v>
      </c>
      <c r="B18" s="23" t="n">
        <v>0</v>
      </c>
      <c r="C18" s="24" t="s">
        <v>110</v>
      </c>
      <c r="D18" s="39" t="n">
        <f aca="false">MAX(0,100-(B18*25))</f>
        <v>100</v>
      </c>
      <c r="E18" s="26" t="s">
        <v>129</v>
      </c>
    </row>
    <row r="19" customFormat="false" ht="27.75" hidden="false" customHeight="true" outlineLevel="0" collapsed="false">
      <c r="A19" s="22" t="s">
        <v>130</v>
      </c>
      <c r="B19" s="23" t="n">
        <v>0</v>
      </c>
      <c r="C19" s="24" t="n">
        <v>0</v>
      </c>
      <c r="D19" s="39" t="n">
        <f aca="false">IF(C19&gt;0,(B19/C19)*100,0)</f>
        <v>0</v>
      </c>
      <c r="E19" s="26" t="s">
        <v>131</v>
      </c>
    </row>
    <row r="20" customFormat="false" ht="24" hidden="false" customHeight="true" outlineLevel="0" collapsed="false">
      <c r="A20" s="40" t="s">
        <v>132</v>
      </c>
      <c r="B20" s="41"/>
      <c r="C20" s="41"/>
      <c r="D20" s="42" t="n">
        <f aca="false">AVERAGE(D17,D18,D19)</f>
        <v>33.3333333333333</v>
      </c>
      <c r="E20" s="43" t="s">
        <v>133</v>
      </c>
    </row>
    <row r="21" customFormat="false" ht="7.5" hidden="false" customHeight="true" outlineLevel="0" collapsed="false">
      <c r="A21" s="31"/>
      <c r="B21" s="31"/>
      <c r="C21" s="31"/>
      <c r="D21" s="31"/>
      <c r="E21" s="31"/>
    </row>
    <row r="22" customFormat="false" ht="24" hidden="false" customHeight="true" outlineLevel="0" collapsed="false">
      <c r="A22" s="44" t="s">
        <v>63</v>
      </c>
      <c r="B22" s="44"/>
      <c r="C22" s="44"/>
      <c r="D22" s="44"/>
      <c r="E22" s="44"/>
    </row>
    <row r="23" customFormat="false" ht="27.75" hidden="false" customHeight="true" outlineLevel="0" collapsed="false">
      <c r="A23" s="22" t="s">
        <v>134</v>
      </c>
      <c r="B23" s="23" t="n">
        <v>0</v>
      </c>
      <c r="C23" s="24" t="s">
        <v>110</v>
      </c>
      <c r="D23" s="45" t="n">
        <f aca="false">IF(B23&gt;=1,100,0)</f>
        <v>0</v>
      </c>
      <c r="E23" s="26" t="s">
        <v>135</v>
      </c>
    </row>
    <row r="24" customFormat="false" ht="27.75" hidden="false" customHeight="true" outlineLevel="0" collapsed="false">
      <c r="A24" s="22" t="s">
        <v>136</v>
      </c>
      <c r="B24" s="23" t="n">
        <v>0</v>
      </c>
      <c r="C24" s="24" t="s">
        <v>110</v>
      </c>
      <c r="D24" s="45" t="n">
        <f aca="false">MIN(100,(B24/3)*100)</f>
        <v>0</v>
      </c>
      <c r="E24" s="26" t="s">
        <v>137</v>
      </c>
    </row>
    <row r="25" customFormat="false" ht="27.75" hidden="false" customHeight="true" outlineLevel="0" collapsed="false">
      <c r="A25" s="22" t="s">
        <v>138</v>
      </c>
      <c r="B25" s="23" t="n">
        <v>0</v>
      </c>
      <c r="C25" s="24" t="s">
        <v>110</v>
      </c>
      <c r="D25" s="45" t="n">
        <f aca="false">IF(B25&gt;=1,100,0)</f>
        <v>0</v>
      </c>
      <c r="E25" s="26" t="s">
        <v>139</v>
      </c>
    </row>
    <row r="26" customFormat="false" ht="24" hidden="false" customHeight="true" outlineLevel="0" collapsed="false">
      <c r="A26" s="46" t="s">
        <v>140</v>
      </c>
      <c r="B26" s="47"/>
      <c r="C26" s="47"/>
      <c r="D26" s="48" t="n">
        <f aca="false">AVERAGE(D23,D24,D25)</f>
        <v>0</v>
      </c>
      <c r="E26" s="49" t="s">
        <v>141</v>
      </c>
    </row>
    <row r="27" customFormat="false" ht="7.5" hidden="false" customHeight="true" outlineLevel="0" collapsed="false">
      <c r="A27" s="31"/>
      <c r="B27" s="31"/>
      <c r="C27" s="31"/>
      <c r="D27" s="31"/>
      <c r="E27" s="31"/>
    </row>
    <row r="28" customFormat="false" ht="24" hidden="false" customHeight="true" outlineLevel="0" collapsed="false">
      <c r="A28" s="50" t="s">
        <v>76</v>
      </c>
      <c r="B28" s="50"/>
      <c r="C28" s="50"/>
      <c r="D28" s="50"/>
      <c r="E28" s="50"/>
    </row>
    <row r="29" customFormat="false" ht="27.75" hidden="false" customHeight="true" outlineLevel="0" collapsed="false">
      <c r="A29" s="22" t="s">
        <v>142</v>
      </c>
      <c r="B29" s="23" t="n">
        <v>0</v>
      </c>
      <c r="C29" s="24" t="s">
        <v>110</v>
      </c>
      <c r="D29" s="51" t="n">
        <f aca="false">MIN(100,(B29/3)*100)</f>
        <v>0</v>
      </c>
      <c r="E29" s="26" t="s">
        <v>143</v>
      </c>
    </row>
    <row r="30" customFormat="false" ht="27.75" hidden="false" customHeight="true" outlineLevel="0" collapsed="false">
      <c r="A30" s="22" t="s">
        <v>144</v>
      </c>
      <c r="B30" s="23" t="n">
        <v>0</v>
      </c>
      <c r="C30" s="24" t="s">
        <v>110</v>
      </c>
      <c r="D30" s="51" t="n">
        <f aca="false">MIN(100,(B30/0.5)*100)</f>
        <v>0</v>
      </c>
      <c r="E30" s="26" t="s">
        <v>145</v>
      </c>
    </row>
    <row r="31" customFormat="false" ht="27.75" hidden="false" customHeight="true" outlineLevel="0" collapsed="false">
      <c r="A31" s="22" t="s">
        <v>146</v>
      </c>
      <c r="B31" s="23" t="n">
        <v>0</v>
      </c>
      <c r="C31" s="24" t="s">
        <v>110</v>
      </c>
      <c r="D31" s="51" t="n">
        <f aca="false">MIN(100,(B31/6)*100)</f>
        <v>0</v>
      </c>
      <c r="E31" s="26" t="s">
        <v>147</v>
      </c>
    </row>
    <row r="32" customFormat="false" ht="24" hidden="false" customHeight="true" outlineLevel="0" collapsed="false">
      <c r="A32" s="52" t="s">
        <v>148</v>
      </c>
      <c r="B32" s="53"/>
      <c r="C32" s="53"/>
      <c r="D32" s="54" t="n">
        <f aca="false">AVERAGE(D29,D30,D31)</f>
        <v>0</v>
      </c>
      <c r="E32" s="55" t="s">
        <v>149</v>
      </c>
    </row>
    <row r="33" customFormat="false" ht="7.5" hidden="false" customHeight="true" outlineLevel="0" collapsed="false">
      <c r="A33" s="31"/>
      <c r="B33" s="31"/>
      <c r="C33" s="31"/>
      <c r="D33" s="31"/>
      <c r="E33" s="31"/>
    </row>
    <row r="34" customFormat="false" ht="31.5" hidden="false" customHeight="true" outlineLevel="0" collapsed="false">
      <c r="A34" s="56" t="s">
        <v>150</v>
      </c>
      <c r="B34" s="56"/>
      <c r="C34" s="56"/>
      <c r="D34" s="57" t="n">
        <f aca="false">AVERAGE(D5,D6,D7,D11,D12,D13,D17,D18,D19,D23,D24,D25,D29,D30,D31)</f>
        <v>6.66666666666667</v>
      </c>
      <c r="E34" s="58" t="s">
        <v>151</v>
      </c>
    </row>
  </sheetData>
  <mergeCells count="8">
    <mergeCell ref="A1:E1"/>
    <mergeCell ref="A2:E2"/>
    <mergeCell ref="A4:E4"/>
    <mergeCell ref="A10:E10"/>
    <mergeCell ref="A16:E16"/>
    <mergeCell ref="A22:E22"/>
    <mergeCell ref="A28:E28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16"/>
  </cols>
  <sheetData>
    <row r="1" customFormat="false" ht="36" hidden="false" customHeight="true" outlineLevel="0" collapsed="false">
      <c r="A1" s="59" t="s">
        <v>7</v>
      </c>
      <c r="B1" s="59"/>
      <c r="C1" s="59"/>
      <c r="D1" s="59"/>
      <c r="E1" s="59"/>
    </row>
    <row r="2" customFormat="false" ht="21.75" hidden="false" customHeight="true" outlineLevel="0" collapsed="false">
      <c r="A2" s="3" t="s">
        <v>152</v>
      </c>
      <c r="B2" s="3" t="s">
        <v>2</v>
      </c>
      <c r="C2" s="4" t="s">
        <v>3</v>
      </c>
      <c r="D2" s="4" t="s">
        <v>4</v>
      </c>
      <c r="E2" s="4" t="s">
        <v>5</v>
      </c>
    </row>
    <row r="3" customFormat="false" ht="19.5" hidden="false" customHeight="true" outlineLevel="0" collapsed="false">
      <c r="A3" s="6" t="s">
        <v>8</v>
      </c>
      <c r="B3" s="7" t="s">
        <v>9</v>
      </c>
      <c r="C3" s="8" t="s">
        <v>10</v>
      </c>
      <c r="D3" s="8" t="s">
        <v>11</v>
      </c>
      <c r="E3" s="8" t="s">
        <v>12</v>
      </c>
    </row>
    <row r="4" customFormat="false" ht="19.5" hidden="false" customHeight="true" outlineLevel="0" collapsed="false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</row>
    <row r="5" customFormat="false" ht="19.5" hidden="false" customHeight="true" outlineLevel="0" collapsed="false">
      <c r="A5" s="6" t="s">
        <v>18</v>
      </c>
      <c r="B5" s="7" t="s">
        <v>19</v>
      </c>
      <c r="C5" s="8" t="s">
        <v>20</v>
      </c>
      <c r="D5" s="8" t="s">
        <v>21</v>
      </c>
      <c r="E5" s="8" t="s">
        <v>22</v>
      </c>
    </row>
    <row r="6" customFormat="false" ht="19.5" hidden="false" customHeight="true" outlineLevel="0" collapsed="false">
      <c r="A6" s="6" t="s">
        <v>23</v>
      </c>
      <c r="B6" s="7" t="s">
        <v>24</v>
      </c>
      <c r="C6" s="8" t="s">
        <v>25</v>
      </c>
      <c r="D6" s="8" t="s">
        <v>26</v>
      </c>
      <c r="E6" s="8" t="s">
        <v>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16"/>
  </cols>
  <sheetData>
    <row r="1" customFormat="false" ht="36" hidden="false" customHeight="true" outlineLevel="0" collapsed="false">
      <c r="A1" s="60" t="s">
        <v>27</v>
      </c>
      <c r="B1" s="60"/>
      <c r="C1" s="60"/>
      <c r="D1" s="60"/>
      <c r="E1" s="60"/>
    </row>
    <row r="2" customFormat="false" ht="21.75" hidden="false" customHeight="true" outlineLevel="0" collapsed="false">
      <c r="A2" s="3" t="s">
        <v>152</v>
      </c>
      <c r="B2" s="3" t="s">
        <v>2</v>
      </c>
      <c r="C2" s="4" t="s">
        <v>3</v>
      </c>
      <c r="D2" s="4" t="s">
        <v>4</v>
      </c>
      <c r="E2" s="4" t="s">
        <v>5</v>
      </c>
    </row>
    <row r="3" customFormat="false" ht="19.5" hidden="false" customHeight="true" outlineLevel="0" collapsed="false">
      <c r="A3" s="6" t="s">
        <v>28</v>
      </c>
      <c r="B3" s="7" t="s">
        <v>29</v>
      </c>
      <c r="C3" s="12" t="s">
        <v>30</v>
      </c>
      <c r="D3" s="12" t="s">
        <v>31</v>
      </c>
      <c r="E3" s="12" t="s">
        <v>22</v>
      </c>
    </row>
    <row r="4" customFormat="false" ht="19.5" hidden="false" customHeight="true" outlineLevel="0" collapsed="false">
      <c r="A4" s="6" t="s">
        <v>32</v>
      </c>
      <c r="B4" s="7" t="s">
        <v>33</v>
      </c>
      <c r="C4" s="12" t="s">
        <v>34</v>
      </c>
      <c r="D4" s="12" t="s">
        <v>20</v>
      </c>
      <c r="E4" s="12" t="s">
        <v>35</v>
      </c>
    </row>
    <row r="5" customFormat="false" ht="19.5" hidden="false" customHeight="true" outlineLevel="0" collapsed="false">
      <c r="A5" s="6" t="s">
        <v>36</v>
      </c>
      <c r="B5" s="7" t="s">
        <v>19</v>
      </c>
      <c r="C5" s="12" t="s">
        <v>37</v>
      </c>
      <c r="D5" s="12" t="s">
        <v>34</v>
      </c>
      <c r="E5" s="12" t="s">
        <v>26</v>
      </c>
    </row>
    <row r="6" customFormat="false" ht="19.5" hidden="false" customHeight="true" outlineLevel="0" collapsed="false">
      <c r="A6" s="6" t="s">
        <v>38</v>
      </c>
      <c r="B6" s="7" t="s">
        <v>39</v>
      </c>
      <c r="C6" s="12" t="s">
        <v>40</v>
      </c>
      <c r="D6" s="12" t="s">
        <v>41</v>
      </c>
      <c r="E6" s="12" t="s">
        <v>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16"/>
  </cols>
  <sheetData>
    <row r="1" customFormat="false" ht="36" hidden="false" customHeight="true" outlineLevel="0" collapsed="false">
      <c r="A1" s="61" t="s">
        <v>43</v>
      </c>
      <c r="B1" s="61"/>
      <c r="C1" s="61"/>
      <c r="D1" s="61"/>
      <c r="E1" s="61"/>
    </row>
    <row r="2" customFormat="false" ht="21.75" hidden="false" customHeight="true" outlineLevel="0" collapsed="false">
      <c r="A2" s="3" t="s">
        <v>152</v>
      </c>
      <c r="B2" s="3" t="s">
        <v>2</v>
      </c>
      <c r="C2" s="4" t="s">
        <v>3</v>
      </c>
      <c r="D2" s="4" t="s">
        <v>4</v>
      </c>
      <c r="E2" s="4" t="s">
        <v>5</v>
      </c>
    </row>
    <row r="3" customFormat="false" ht="19.5" hidden="false" customHeight="true" outlineLevel="0" collapsed="false">
      <c r="A3" s="6" t="s">
        <v>44</v>
      </c>
      <c r="B3" s="7" t="s">
        <v>45</v>
      </c>
      <c r="C3" s="14" t="s">
        <v>46</v>
      </c>
      <c r="D3" s="14" t="s">
        <v>47</v>
      </c>
      <c r="E3" s="14" t="s">
        <v>48</v>
      </c>
    </row>
    <row r="4" customFormat="false" ht="19.5" hidden="false" customHeight="true" outlineLevel="0" collapsed="false">
      <c r="A4" s="6" t="s">
        <v>49</v>
      </c>
      <c r="B4" s="7" t="s">
        <v>50</v>
      </c>
      <c r="C4" s="14" t="s">
        <v>51</v>
      </c>
      <c r="D4" s="14" t="s">
        <v>52</v>
      </c>
      <c r="E4" s="14" t="s">
        <v>53</v>
      </c>
    </row>
    <row r="5" customFormat="false" ht="19.5" hidden="false" customHeight="true" outlineLevel="0" collapsed="false">
      <c r="A5" s="6" t="s">
        <v>54</v>
      </c>
      <c r="B5" s="7" t="s">
        <v>55</v>
      </c>
      <c r="C5" s="14" t="s">
        <v>56</v>
      </c>
      <c r="D5" s="14" t="s">
        <v>57</v>
      </c>
      <c r="E5" s="14" t="s">
        <v>51</v>
      </c>
    </row>
    <row r="6" customFormat="false" ht="19.5" hidden="false" customHeight="true" outlineLevel="0" collapsed="false">
      <c r="A6" s="6" t="s">
        <v>58</v>
      </c>
      <c r="B6" s="7" t="s">
        <v>59</v>
      </c>
      <c r="C6" s="14" t="s">
        <v>60</v>
      </c>
      <c r="D6" s="14" t="s">
        <v>61</v>
      </c>
      <c r="E6" s="14" t="s">
        <v>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16"/>
  </cols>
  <sheetData>
    <row r="1" customFormat="false" ht="36" hidden="false" customHeight="true" outlineLevel="0" collapsed="false">
      <c r="A1" s="62" t="s">
        <v>63</v>
      </c>
      <c r="B1" s="62"/>
      <c r="C1" s="62"/>
      <c r="D1" s="62"/>
      <c r="E1" s="62"/>
    </row>
    <row r="2" customFormat="false" ht="21.75" hidden="false" customHeight="true" outlineLevel="0" collapsed="false">
      <c r="A2" s="3" t="s">
        <v>152</v>
      </c>
      <c r="B2" s="3" t="s">
        <v>2</v>
      </c>
      <c r="C2" s="4" t="s">
        <v>3</v>
      </c>
      <c r="D2" s="4" t="s">
        <v>4</v>
      </c>
      <c r="E2" s="4" t="s">
        <v>5</v>
      </c>
    </row>
    <row r="3" customFormat="false" ht="19.5" hidden="false" customHeight="true" outlineLevel="0" collapsed="false">
      <c r="A3" s="6" t="s">
        <v>64</v>
      </c>
      <c r="B3" s="7" t="s">
        <v>65</v>
      </c>
      <c r="C3" s="16" t="s">
        <v>66</v>
      </c>
      <c r="D3" s="16" t="s">
        <v>66</v>
      </c>
      <c r="E3" s="16" t="s">
        <v>66</v>
      </c>
    </row>
    <row r="4" customFormat="false" ht="19.5" hidden="false" customHeight="true" outlineLevel="0" collapsed="false">
      <c r="A4" s="6" t="s">
        <v>67</v>
      </c>
      <c r="B4" s="7" t="s">
        <v>24</v>
      </c>
      <c r="C4" s="16" t="s">
        <v>25</v>
      </c>
      <c r="D4" s="16" t="s">
        <v>26</v>
      </c>
      <c r="E4" s="16" t="s">
        <v>68</v>
      </c>
    </row>
    <row r="5" customFormat="false" ht="19.5" hidden="false" customHeight="true" outlineLevel="0" collapsed="false">
      <c r="A5" s="6" t="s">
        <v>69</v>
      </c>
      <c r="B5" s="7" t="s">
        <v>70</v>
      </c>
      <c r="C5" s="16" t="s">
        <v>52</v>
      </c>
      <c r="D5" s="16" t="s">
        <v>71</v>
      </c>
      <c r="E5" s="16" t="s">
        <v>72</v>
      </c>
    </row>
    <row r="6" customFormat="false" ht="19.5" hidden="false" customHeight="true" outlineLevel="0" collapsed="false">
      <c r="A6" s="6" t="s">
        <v>73</v>
      </c>
      <c r="B6" s="7" t="s">
        <v>74</v>
      </c>
      <c r="C6" s="16" t="s">
        <v>37</v>
      </c>
      <c r="D6" s="16" t="s">
        <v>75</v>
      </c>
      <c r="E6" s="16" t="s">
        <v>21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16"/>
  </cols>
  <sheetData>
    <row r="1" customFormat="false" ht="36" hidden="false" customHeight="true" outlineLevel="0" collapsed="false">
      <c r="A1" s="63" t="s">
        <v>76</v>
      </c>
      <c r="B1" s="63"/>
      <c r="C1" s="63"/>
      <c r="D1" s="63"/>
      <c r="E1" s="63"/>
    </row>
    <row r="2" customFormat="false" ht="21.75" hidden="false" customHeight="true" outlineLevel="0" collapsed="false">
      <c r="A2" s="3" t="s">
        <v>152</v>
      </c>
      <c r="B2" s="3" t="s">
        <v>2</v>
      </c>
      <c r="C2" s="4" t="s">
        <v>3</v>
      </c>
      <c r="D2" s="4" t="s">
        <v>4</v>
      </c>
      <c r="E2" s="4" t="s">
        <v>5</v>
      </c>
    </row>
    <row r="3" customFormat="false" ht="19.5" hidden="false" customHeight="true" outlineLevel="0" collapsed="false">
      <c r="A3" s="6" t="s">
        <v>77</v>
      </c>
      <c r="B3" s="7" t="s">
        <v>78</v>
      </c>
      <c r="C3" s="18" t="s">
        <v>79</v>
      </c>
      <c r="D3" s="18" t="s">
        <v>80</v>
      </c>
      <c r="E3" s="18" t="s">
        <v>31</v>
      </c>
    </row>
    <row r="4" customFormat="false" ht="19.5" hidden="false" customHeight="true" outlineLevel="0" collapsed="false">
      <c r="A4" s="6" t="s">
        <v>81</v>
      </c>
      <c r="B4" s="7" t="s">
        <v>82</v>
      </c>
      <c r="C4" s="18" t="s">
        <v>83</v>
      </c>
      <c r="D4" s="18" t="s">
        <v>84</v>
      </c>
      <c r="E4" s="18" t="s">
        <v>85</v>
      </c>
    </row>
    <row r="5" customFormat="false" ht="19.5" hidden="false" customHeight="true" outlineLevel="0" collapsed="false">
      <c r="A5" s="6" t="s">
        <v>86</v>
      </c>
      <c r="B5" s="7" t="s">
        <v>87</v>
      </c>
      <c r="C5" s="18" t="s">
        <v>88</v>
      </c>
      <c r="D5" s="18" t="s">
        <v>89</v>
      </c>
      <c r="E5" s="18" t="s">
        <v>90</v>
      </c>
    </row>
    <row r="6" customFormat="false" ht="19.5" hidden="false" customHeight="true" outlineLevel="0" collapsed="false">
      <c r="A6" s="6" t="s">
        <v>91</v>
      </c>
      <c r="B6" s="7" t="s">
        <v>92</v>
      </c>
      <c r="C6" s="18" t="s">
        <v>93</v>
      </c>
      <c r="D6" s="18" t="s">
        <v>94</v>
      </c>
      <c r="E6" s="18" t="s">
        <v>95</v>
      </c>
    </row>
    <row r="7" customFormat="false" ht="19.5" hidden="false" customHeight="true" outlineLevel="0" collapsed="false">
      <c r="A7" s="6" t="s">
        <v>96</v>
      </c>
      <c r="B7" s="7" t="s">
        <v>97</v>
      </c>
      <c r="C7" s="18" t="s">
        <v>98</v>
      </c>
      <c r="D7" s="18" t="s">
        <v>99</v>
      </c>
      <c r="E7" s="18" t="s">
        <v>41</v>
      </c>
    </row>
    <row r="8" customFormat="false" ht="19.5" hidden="false" customHeight="true" outlineLevel="0" collapsed="false">
      <c r="A8" s="6" t="s">
        <v>100</v>
      </c>
      <c r="B8" s="7" t="s">
        <v>101</v>
      </c>
      <c r="C8" s="18" t="s">
        <v>66</v>
      </c>
      <c r="D8" s="18" t="s">
        <v>25</v>
      </c>
      <c r="E8" s="18" t="s">
        <v>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2026-03-14T17:10:18Z</dcterms:created>
  <dc:creator>openpyxl</dc:creator>
  <dc:description/>
  <dc:language>en-US</dc:language>
  <cp:lastModifiedBy/>
  <dcterms:modified xsi:type="dcterms:W3CDTF">2026-03-14T17:22:56Z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